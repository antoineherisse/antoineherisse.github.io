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ice\Desktop\travail\SAE - VBA\"/>
    </mc:Choice>
  </mc:AlternateContent>
  <xr:revisionPtr revIDLastSave="0" documentId="13_ncr:1_{D92C1521-48CB-41CD-BCDD-C1CF76FBEF38}" xr6:coauthVersionLast="47" xr6:coauthVersionMax="47" xr10:uidLastSave="{00000000-0000-0000-0000-000000000000}"/>
  <bookViews>
    <workbookView xWindow="-120" yWindow="-120" windowWidth="29040" windowHeight="15720" xr2:uid="{3F5C0333-567C-4311-9291-D786C52BA1AC}"/>
  </bookViews>
  <sheets>
    <sheet name="Menu" sheetId="1" r:id="rId1"/>
    <sheet name="S1" sheetId="3" r:id="rId2"/>
    <sheet name="S2" sheetId="2" r:id="rId3"/>
    <sheet name="Calcu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1" l="1"/>
  <c r="D21" i="1"/>
  <c r="D20" i="1"/>
  <c r="D18" i="1"/>
  <c r="D17" i="1"/>
  <c r="D16" i="1"/>
  <c r="D15" i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3" i="2"/>
  <c r="H24" i="2"/>
  <c r="H25" i="2"/>
  <c r="H26" i="2"/>
  <c r="H27" i="2"/>
  <c r="H28" i="2"/>
  <c r="H29" i="2"/>
  <c r="H30" i="2"/>
  <c r="H13" i="2"/>
  <c r="H14" i="2"/>
  <c r="H15" i="2"/>
  <c r="H16" i="2"/>
  <c r="H17" i="2"/>
  <c r="H18" i="2"/>
  <c r="H19" i="2"/>
  <c r="H20" i="2"/>
  <c r="H21" i="2"/>
  <c r="H12" i="2"/>
  <c r="H8" i="2"/>
  <c r="H9" i="2"/>
  <c r="N23" i="4"/>
  <c r="B26" i="1"/>
  <c r="B25" i="1"/>
  <c r="B24" i="1"/>
  <c r="H3" i="2"/>
  <c r="H4" i="2"/>
  <c r="H5" i="2"/>
  <c r="H6" i="2"/>
  <c r="H7" i="2"/>
  <c r="H10" i="2"/>
  <c r="H2" i="2"/>
  <c r="F23" i="2" l="1"/>
  <c r="L16" i="4" s="1"/>
  <c r="F12" i="2"/>
  <c r="L15" i="4" s="1"/>
  <c r="F2" i="2"/>
  <c r="L14" i="4" s="1"/>
  <c r="F15" i="3"/>
  <c r="L13" i="4" s="1"/>
  <c r="F9" i="3"/>
  <c r="L12" i="4" s="1"/>
  <c r="F2" i="3"/>
  <c r="N13" i="4" l="1"/>
  <c r="C12" i="1" s="1"/>
  <c r="N12" i="4"/>
  <c r="C11" i="1" s="1"/>
  <c r="L11" i="4"/>
  <c r="N11" i="4" s="1"/>
  <c r="C10" i="1" s="1"/>
  <c r="N21" i="4" l="1"/>
  <c r="N26" i="4" s="1"/>
  <c r="H24" i="1" s="1"/>
  <c r="N18" i="4"/>
  <c r="O17" i="4"/>
  <c r="N17" i="4"/>
  <c r="N25" i="4" l="1"/>
  <c r="E26" i="1"/>
  <c r="N24" i="4"/>
  <c r="E25" i="1"/>
</calcChain>
</file>

<file path=xl/sharedStrings.xml><?xml version="1.0" encoding="utf-8"?>
<sst xmlns="http://schemas.openxmlformats.org/spreadsheetml/2006/main" count="152" uniqueCount="64">
  <si>
    <t>PPP1</t>
  </si>
  <si>
    <t>10 ECTS</t>
  </si>
  <si>
    <t>Tableur et Reporting</t>
  </si>
  <si>
    <t>Bases de données relationnelles 1</t>
  </si>
  <si>
    <t>Bases de la programmation 1</t>
  </si>
  <si>
    <t>SAE - Reporting à partir de données stockées dans un SGBD relationnel</t>
  </si>
  <si>
    <t>SAE - Ecriture et lecture de fichiers de données</t>
  </si>
  <si>
    <t>Statistique descriptive 1</t>
  </si>
  <si>
    <t>Probabilités 1</t>
  </si>
  <si>
    <t>Mathématiques - Analyse</t>
  </si>
  <si>
    <t>SAE - Préparation et synthèse d'un tableau de données en vue d'une analyse exploratoire simple</t>
  </si>
  <si>
    <t>Initiation à l'anglais de spécialité</t>
  </si>
  <si>
    <t>Communication de l'information et recherche documentaire</t>
  </si>
  <si>
    <t>Découverte des données de l’environnement entrepreneurial et économique</t>
  </si>
  <si>
    <t>SAE - Apprendre en situation la production de données en entreprise</t>
  </si>
  <si>
    <t>SAE - Présentation en anglais d'un territoire économique et culturel</t>
  </si>
  <si>
    <t>SAE - Mise en œuvre d'une enquête</t>
  </si>
  <si>
    <t>NOTES</t>
  </si>
  <si>
    <t>MOYENNE</t>
  </si>
  <si>
    <t>PPP2</t>
  </si>
  <si>
    <t>Bases de données relationnelles 2</t>
  </si>
  <si>
    <t>Bases de la programmation 2</t>
  </si>
  <si>
    <t>Programmation statistique</t>
  </si>
  <si>
    <t>Reporting et datavisualisation</t>
  </si>
  <si>
    <t>SAE - Analyse de données, reporting et datavisualisation</t>
  </si>
  <si>
    <t>SAE - Conception et implémentation d'une base de données</t>
  </si>
  <si>
    <t>SAE - Datavisualisation</t>
  </si>
  <si>
    <t>SAE - Portfolio</t>
  </si>
  <si>
    <t>Statistique descriptive 2</t>
  </si>
  <si>
    <t>Statistique inférentielle</t>
  </si>
  <si>
    <t>Probabilités 2</t>
  </si>
  <si>
    <t>Bases de l’algèbre</t>
  </si>
  <si>
    <t>SAE - Estimation par échantillonnage</t>
  </si>
  <si>
    <t>SAE - Régression sur des données réelles</t>
  </si>
  <si>
    <t>Approfondissement de l'anglais de spécialité</t>
  </si>
  <si>
    <t xml:space="preserve">Communication et sémiologie </t>
  </si>
  <si>
    <t>Etude des données de l'environnement entrepreneurial et économique</t>
  </si>
  <si>
    <t>SAE - Construction et présentation d’indicateurs de performance</t>
  </si>
  <si>
    <t>Matière</t>
  </si>
  <si>
    <t>Coeff</t>
  </si>
  <si>
    <t>Points</t>
  </si>
  <si>
    <t>MOYENNE BLOC</t>
  </si>
  <si>
    <t>bloc 1</t>
  </si>
  <si>
    <t>bloc 2</t>
  </si>
  <si>
    <t>bloc 3</t>
  </si>
  <si>
    <t>bloc 4</t>
  </si>
  <si>
    <t>bloc 5</t>
  </si>
  <si>
    <t>bloc 6</t>
  </si>
  <si>
    <t>Moyenne Bloc Année</t>
  </si>
  <si>
    <t>Bloc 1</t>
  </si>
  <si>
    <t>Bloc 2</t>
  </si>
  <si>
    <t>Bloc 3</t>
  </si>
  <si>
    <t>nbr</t>
  </si>
  <si>
    <t>bool</t>
  </si>
  <si>
    <t>nbr &gt;= 10</t>
  </si>
  <si>
    <t>tous au dessus de 8</t>
  </si>
  <si>
    <t>S2</t>
  </si>
  <si>
    <t>S1</t>
  </si>
  <si>
    <t>Nombre d'absences S1:</t>
  </si>
  <si>
    <t>Pénalité Semestre 1:</t>
  </si>
  <si>
    <t>Nombre d'absences S2:</t>
  </si>
  <si>
    <t>Pénalité Semestre 2:</t>
  </si>
  <si>
    <t>Moyenne Semestre 1:</t>
  </si>
  <si>
    <t>Moyenne Semestre 2: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</si>
</sst>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i/>
      <sz val="9"/>
      <color rgb="FF000000"/>
      <name val="Arial"/>
      <family val="2"/>
    </font>
    <font>
      <i/>
      <sz val="9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D9D9D9"/>
      <name val="Calibri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rgb="FFA6A6A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EB977D"/>
        <bgColor indexed="64"/>
      </patternFill>
    </fill>
    <fill>
      <patternFill patternType="solid">
        <fgColor rgb="FFFFBE60"/>
        <bgColor indexed="64"/>
      </patternFill>
    </fill>
    <fill>
      <patternFill patternType="solid">
        <fgColor rgb="FFFEDA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6A6A6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7">
    <xf numFmtId="0" fontId="0" fillId="0" borderId="0" xfId="0"/>
    <xf numFmtId="0" fontId="2" fillId="0" borderId="5" xfId="0" applyFont="1" applyBorder="1" applyAlignment="1">
      <alignment horizontal="center" vertical="center" textRotation="90" wrapText="1"/>
    </xf>
    <xf numFmtId="0" fontId="4" fillId="0" borderId="5" xfId="0" applyFont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3" fillId="4" borderId="4" xfId="0" applyFont="1" applyFill="1" applyBorder="1" applyAlignment="1">
      <alignment vertical="center" wrapText="1"/>
    </xf>
    <xf numFmtId="0" fontId="3" fillId="5" borderId="4" xfId="0" applyFont="1" applyFill="1" applyBorder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3" fillId="3" borderId="4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0" fillId="7" borderId="1" xfId="0" applyFill="1" applyBorder="1"/>
    <xf numFmtId="0" fontId="6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9" fillId="0" borderId="0" xfId="1" applyFill="1" applyBorder="1" applyAlignment="1">
      <alignment vertical="center"/>
    </xf>
    <xf numFmtId="0" fontId="0" fillId="0" borderId="10" xfId="0" applyBorder="1"/>
    <xf numFmtId="0" fontId="0" fillId="0" borderId="11" xfId="0" applyBorder="1"/>
    <xf numFmtId="0" fontId="1" fillId="6" borderId="1" xfId="0" applyFont="1" applyFill="1" applyBorder="1"/>
    <xf numFmtId="0" fontId="10" fillId="7" borderId="1" xfId="0" applyFont="1" applyFill="1" applyBorder="1"/>
    <xf numFmtId="0" fontId="10" fillId="7" borderId="1" xfId="0" applyFont="1" applyFill="1" applyBorder="1" applyAlignment="1">
      <alignment vertical="center"/>
    </xf>
    <xf numFmtId="0" fontId="1" fillId="0" borderId="0" xfId="0" applyFont="1" applyAlignment="1">
      <alignment horizontal="right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12" fillId="0" borderId="0" xfId="0" applyFont="1"/>
    <xf numFmtId="0" fontId="14" fillId="8" borderId="0" xfId="0" applyFont="1" applyFill="1"/>
    <xf numFmtId="0" fontId="0" fillId="0" borderId="18" xfId="0" applyBorder="1"/>
    <xf numFmtId="0" fontId="0" fillId="0" borderId="19" xfId="0" applyBorder="1"/>
    <xf numFmtId="0" fontId="1" fillId="6" borderId="1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1" fillId="6" borderId="14" xfId="0" applyFont="1" applyFill="1" applyBorder="1" applyAlignment="1">
      <alignment horizontal="left"/>
    </xf>
    <xf numFmtId="0" fontId="0" fillId="6" borderId="6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2" xfId="0" applyFill="1" applyBorder="1" applyAlignment="1">
      <alignment horizontal="left"/>
    </xf>
    <xf numFmtId="0" fontId="0" fillId="6" borderId="13" xfId="0" applyFill="1" applyBorder="1" applyAlignment="1">
      <alignment horizontal="left"/>
    </xf>
    <xf numFmtId="0" fontId="13" fillId="6" borderId="6" xfId="0" applyFont="1" applyFill="1" applyBorder="1" applyAlignment="1">
      <alignment horizontal="center" vertical="center"/>
    </xf>
    <xf numFmtId="0" fontId="13" fillId="6" borderId="9" xfId="0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6" borderId="16" xfId="0" applyFont="1" applyFill="1" applyBorder="1" applyAlignment="1">
      <alignment horizontal="center" vertical="center"/>
    </xf>
    <xf numFmtId="0" fontId="13" fillId="6" borderId="8" xfId="0" applyFont="1" applyFill="1" applyBorder="1" applyAlignment="1">
      <alignment horizontal="center" vertical="center"/>
    </xf>
    <xf numFmtId="0" fontId="13" fillId="6" borderId="5" xfId="0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6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textRotation="90" wrapText="1"/>
    </xf>
    <xf numFmtId="0" fontId="2" fillId="0" borderId="3" xfId="0" applyFont="1" applyBorder="1" applyAlignment="1">
      <alignment horizontal="center" vertical="center" textRotation="90" wrapText="1"/>
    </xf>
    <xf numFmtId="0" fontId="2" fillId="0" borderId="4" xfId="0" applyFont="1" applyBorder="1" applyAlignment="1">
      <alignment horizontal="center" vertical="center" textRotation="90" wrapText="1"/>
    </xf>
    <xf numFmtId="0" fontId="5" fillId="6" borderId="2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2">
    <cellStyle name="Lien hypertexte" xfId="1" builtinId="8"/>
    <cellStyle name="Normal" xfId="0" builtinId="0"/>
  </cellStyles>
  <dxfs count="2">
    <dxf>
      <font>
        <color rgb="FF006600"/>
      </font>
      <fill>
        <patternFill>
          <bgColor rgb="FF92D050"/>
        </patternFill>
      </fill>
    </dxf>
    <dxf>
      <font>
        <color rgb="FFC00000"/>
      </font>
      <fill>
        <patternFill>
          <bgColor rgb="FFFF6D6D"/>
        </patternFill>
      </fill>
    </dxf>
  </dxfs>
  <tableStyles count="0" defaultTableStyle="TableStyleMedium2" defaultPivotStyle="PivotStyleLight16"/>
  <colors>
    <mruColors>
      <color rgb="FFFF6D6D"/>
      <color rgb="FFFF5050"/>
      <color rgb="FFCC0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</a:t>
            </a:r>
            <a:r>
              <a:rPr lang="fr-FR" baseline="0"/>
              <a:t> des blocs de l'année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Calcule!$J$11:$K$16</c:f>
              <c:multiLvlStrCache>
                <c:ptCount val="6"/>
                <c:lvl>
                  <c:pt idx="0">
                    <c:v>bloc 1</c:v>
                  </c:pt>
                  <c:pt idx="1">
                    <c:v>bloc 2</c:v>
                  </c:pt>
                  <c:pt idx="2">
                    <c:v>bloc 3</c:v>
                  </c:pt>
                  <c:pt idx="3">
                    <c:v>bloc 1</c:v>
                  </c:pt>
                  <c:pt idx="4">
                    <c:v>bloc 2</c:v>
                  </c:pt>
                  <c:pt idx="5">
                    <c:v>bloc 3</c:v>
                  </c:pt>
                </c:lvl>
                <c:lvl>
                  <c:pt idx="0">
                    <c:v>S1</c:v>
                  </c:pt>
                  <c:pt idx="3">
                    <c:v>S2</c:v>
                  </c:pt>
                </c:lvl>
              </c:multiLvlStrCache>
            </c:multiLvlStrRef>
          </c:cat>
          <c:val>
            <c:numRef>
              <c:f>Calcule!$L$11:$L$16</c:f>
              <c:numCache>
                <c:formatCode>General</c:formatCode>
                <c:ptCount val="6"/>
                <c:pt idx="0">
                  <c:v>15.6</c:v>
                </c:pt>
                <c:pt idx="1">
                  <c:v>16.05</c:v>
                </c:pt>
                <c:pt idx="2">
                  <c:v>14.6</c:v>
                </c:pt>
                <c:pt idx="3">
                  <c:v>13.15</c:v>
                </c:pt>
                <c:pt idx="4">
                  <c:v>13.65</c:v>
                </c:pt>
                <c:pt idx="5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D-4928-A33F-1FE3FA3CF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3553119"/>
        <c:axId val="1733553535"/>
      </c:barChart>
      <c:catAx>
        <c:axId val="1733553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3553535"/>
        <c:crosses val="autoZero"/>
        <c:auto val="1"/>
        <c:lblAlgn val="ctr"/>
        <c:lblOffset val="100"/>
        <c:noMultiLvlLbl val="0"/>
      </c:catAx>
      <c:valAx>
        <c:axId val="173355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3553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</xdr:row>
          <xdr:rowOff>57150</xdr:rowOff>
        </xdr:from>
        <xdr:to>
          <xdr:col>3</xdr:col>
          <xdr:colOff>676275</xdr:colOff>
          <xdr:row>5</xdr:row>
          <xdr:rowOff>133350</xdr:rowOff>
        </xdr:to>
        <xdr:sp macro="" textlink="">
          <xdr:nvSpPr>
            <xdr:cNvPr id="2050" name="AfficheUserFor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0</xdr:colOff>
      <xdr:row>2</xdr:row>
      <xdr:rowOff>1</xdr:rowOff>
    </xdr:from>
    <xdr:to>
      <xdr:col>23</xdr:col>
      <xdr:colOff>0</xdr:colOff>
      <xdr:row>12</xdr:row>
      <xdr:rowOff>19051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257175</xdr:rowOff>
        </xdr:from>
        <xdr:to>
          <xdr:col>0</xdr:col>
          <xdr:colOff>571500</xdr:colOff>
          <xdr:row>20</xdr:row>
          <xdr:rowOff>266700</xdr:rowOff>
        </xdr:to>
        <xdr:sp macro="" textlink="">
          <xdr:nvSpPr>
            <xdr:cNvPr id="3073" name="RetourMenu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0</xdr:rowOff>
        </xdr:from>
        <xdr:to>
          <xdr:col>0</xdr:col>
          <xdr:colOff>666750</xdr:colOff>
          <xdr:row>30</xdr:row>
          <xdr:rowOff>9525</xdr:rowOff>
        </xdr:to>
        <xdr:sp macro="" textlink="">
          <xdr:nvSpPr>
            <xdr:cNvPr id="4097" name="RetourMenu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2805-D220-483B-949A-EBBA04BE2630}">
  <sheetPr codeName="Feuil1"/>
  <dimension ref="B1:P27"/>
  <sheetViews>
    <sheetView tabSelected="1" workbookViewId="0">
      <selection activeCell="F7" sqref="F7"/>
    </sheetView>
  </sheetViews>
  <sheetFormatPr baseColWidth="10" defaultRowHeight="15" x14ac:dyDescent="0.25"/>
  <cols>
    <col min="7" max="7" width="12.140625" customWidth="1"/>
    <col min="16" max="16" width="14.140625" customWidth="1"/>
    <col min="22" max="22" width="11.42578125" customWidth="1"/>
    <col min="23" max="23" width="3.42578125" customWidth="1"/>
  </cols>
  <sheetData>
    <row r="1" spans="2:15" ht="15" customHeight="1" x14ac:dyDescent="0.25"/>
    <row r="2" spans="2:15" ht="15" customHeight="1" x14ac:dyDescent="0.25"/>
    <row r="3" spans="2:15" ht="15" customHeight="1" thickBot="1" x14ac:dyDescent="0.3"/>
    <row r="4" spans="2:15" ht="15" customHeight="1" x14ac:dyDescent="0.25">
      <c r="B4" s="36"/>
      <c r="C4" s="37"/>
      <c r="D4" s="38"/>
    </row>
    <row r="5" spans="2:15" ht="15" customHeight="1" x14ac:dyDescent="0.25">
      <c r="B5" s="39"/>
      <c r="C5" s="40"/>
      <c r="D5" s="41"/>
    </row>
    <row r="6" spans="2:15" ht="15" customHeight="1" thickBot="1" x14ac:dyDescent="0.3">
      <c r="B6" s="42"/>
      <c r="C6" s="43"/>
      <c r="D6" s="44"/>
    </row>
    <row r="7" spans="2:15" ht="15" customHeight="1" x14ac:dyDescent="0.25"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</row>
    <row r="8" spans="2:15" ht="15" customHeight="1" thickBot="1" x14ac:dyDescent="0.3">
      <c r="E8" s="20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2:15" ht="22.5" customHeight="1" thickBot="1" x14ac:dyDescent="0.3">
      <c r="B9" s="33" t="s">
        <v>48</v>
      </c>
      <c r="C9" s="34"/>
      <c r="E9" s="16"/>
      <c r="F9" s="16"/>
      <c r="G9" s="16"/>
      <c r="H9" s="16"/>
      <c r="I9" s="16"/>
      <c r="J9" s="16"/>
      <c r="K9" s="16"/>
      <c r="L9" s="16"/>
      <c r="M9" s="16"/>
    </row>
    <row r="10" spans="2:15" ht="22.5" customHeight="1" thickBot="1" x14ac:dyDescent="0.3">
      <c r="B10" s="23" t="s">
        <v>49</v>
      </c>
      <c r="C10" s="24">
        <f>Calcule!N11</f>
        <v>14.375</v>
      </c>
      <c r="E10" s="16"/>
      <c r="F10" s="16"/>
      <c r="G10" s="16"/>
      <c r="H10" s="16"/>
      <c r="I10" s="16"/>
      <c r="J10" s="16"/>
      <c r="K10" s="16"/>
      <c r="L10" s="16"/>
      <c r="M10" s="16"/>
    </row>
    <row r="11" spans="2:15" ht="22.5" customHeight="1" thickBot="1" x14ac:dyDescent="0.3">
      <c r="B11" s="23" t="s">
        <v>50</v>
      </c>
      <c r="C11" s="24">
        <f>Calcule!N12</f>
        <v>14.850000000000001</v>
      </c>
      <c r="E11" s="16"/>
      <c r="F11" s="16"/>
      <c r="G11" s="16"/>
      <c r="H11" s="16"/>
      <c r="I11" s="16"/>
      <c r="J11" s="16"/>
      <c r="K11" s="16"/>
      <c r="L11" s="16"/>
      <c r="M11" s="16"/>
    </row>
    <row r="12" spans="2:15" ht="22.5" customHeight="1" thickBot="1" x14ac:dyDescent="0.3">
      <c r="B12" s="23" t="s">
        <v>51</v>
      </c>
      <c r="C12" s="24">
        <f>Calcule!N13</f>
        <v>11.649999999999999</v>
      </c>
      <c r="E12" s="16"/>
      <c r="F12" s="16"/>
      <c r="G12" s="16"/>
      <c r="H12" s="16"/>
      <c r="I12" s="16"/>
      <c r="J12" s="16"/>
      <c r="K12" s="16"/>
      <c r="L12" s="16"/>
      <c r="M12" s="16"/>
    </row>
    <row r="13" spans="2:15" ht="15" customHeight="1" x14ac:dyDescent="0.25">
      <c r="E13" s="16"/>
      <c r="F13" s="16"/>
      <c r="G13" s="16"/>
      <c r="H13" s="16"/>
      <c r="I13" s="16"/>
      <c r="J13" s="16"/>
      <c r="K13" s="16"/>
      <c r="L13" s="16"/>
      <c r="M13" s="16"/>
    </row>
    <row r="14" spans="2:15" ht="15" customHeight="1" thickBot="1" x14ac:dyDescent="0.3">
      <c r="E14" s="16"/>
      <c r="F14" s="16"/>
      <c r="G14" s="16"/>
      <c r="H14" s="16"/>
      <c r="I14" s="16"/>
      <c r="J14" s="16"/>
      <c r="K14" s="16"/>
      <c r="L14" s="16"/>
      <c r="M14" s="16"/>
    </row>
    <row r="15" spans="2:15" ht="22.5" customHeight="1" thickBot="1" x14ac:dyDescent="0.3">
      <c r="B15" s="45" t="s">
        <v>58</v>
      </c>
      <c r="C15" s="46"/>
      <c r="D15" s="24">
        <f>Calcule!L2</f>
        <v>0</v>
      </c>
      <c r="E15" s="29"/>
      <c r="F15" s="16"/>
      <c r="J15" s="16"/>
      <c r="K15" s="16"/>
      <c r="L15" s="16"/>
      <c r="M15" s="16"/>
    </row>
    <row r="16" spans="2:15" ht="22.5" customHeight="1" thickBot="1" x14ac:dyDescent="0.3">
      <c r="B16" s="45" t="s">
        <v>59</v>
      </c>
      <c r="C16" s="46"/>
      <c r="D16" s="24">
        <f>Calcule!L3</f>
        <v>0</v>
      </c>
      <c r="E16" s="29"/>
      <c r="F16" s="16"/>
      <c r="J16" s="16"/>
      <c r="K16" s="16"/>
      <c r="L16" s="16"/>
      <c r="M16" s="16"/>
    </row>
    <row r="17" spans="2:16" ht="22.5" customHeight="1" thickBot="1" x14ac:dyDescent="0.3">
      <c r="B17" s="56" t="s">
        <v>60</v>
      </c>
      <c r="C17" s="57"/>
      <c r="D17" s="24">
        <f>Calcule!L4</f>
        <v>0</v>
      </c>
      <c r="E17" s="29"/>
      <c r="F17" s="16"/>
      <c r="J17" s="16"/>
      <c r="K17" s="16"/>
      <c r="L17" s="16"/>
      <c r="M17" s="16"/>
    </row>
    <row r="18" spans="2:16" ht="22.5" customHeight="1" thickBot="1" x14ac:dyDescent="0.3">
      <c r="B18" s="45" t="s">
        <v>61</v>
      </c>
      <c r="C18" s="46"/>
      <c r="D18" s="24">
        <f>Calcule!L5</f>
        <v>0</v>
      </c>
      <c r="E18" s="16"/>
      <c r="F18" s="16"/>
      <c r="J18" s="16"/>
      <c r="K18" s="16"/>
      <c r="L18" s="16"/>
      <c r="M18" s="16"/>
    </row>
    <row r="19" spans="2:16" ht="22.5" customHeight="1" thickBot="1" x14ac:dyDescent="0.3">
      <c r="E19" s="16"/>
      <c r="F19" s="16"/>
      <c r="J19" s="16"/>
      <c r="K19" s="16"/>
      <c r="L19" s="16"/>
      <c r="M19" s="16"/>
    </row>
    <row r="20" spans="2:16" ht="22.5" customHeight="1" thickBot="1" x14ac:dyDescent="0.3">
      <c r="B20" s="45" t="s">
        <v>62</v>
      </c>
      <c r="C20" s="46"/>
      <c r="D20" s="24">
        <f>Calcule!L6</f>
        <v>0</v>
      </c>
      <c r="E20" s="16"/>
      <c r="F20" s="16"/>
      <c r="J20" s="16"/>
      <c r="K20" s="16"/>
      <c r="L20" s="16"/>
      <c r="M20" s="16"/>
    </row>
    <row r="21" spans="2:16" ht="22.5" customHeight="1" thickBot="1" x14ac:dyDescent="0.3">
      <c r="B21" s="45" t="s">
        <v>63</v>
      </c>
      <c r="C21" s="46"/>
      <c r="D21" s="24">
        <f>Calcule!L7</f>
        <v>0</v>
      </c>
      <c r="E21" s="16"/>
      <c r="F21" s="16"/>
      <c r="J21" s="16"/>
      <c r="K21" s="16"/>
      <c r="L21" s="16"/>
      <c r="M21" s="16"/>
    </row>
    <row r="22" spans="2:16" ht="22.5" customHeight="1" x14ac:dyDescent="0.25">
      <c r="F22" s="16"/>
      <c r="J22" s="16"/>
      <c r="K22" s="16"/>
      <c r="L22" s="16"/>
      <c r="M22" s="16"/>
    </row>
    <row r="23" spans="2:16" ht="15" customHeight="1" thickBot="1" x14ac:dyDescent="0.3"/>
    <row r="24" spans="2:16" ht="22.5" customHeight="1" thickBot="1" x14ac:dyDescent="0.3">
      <c r="B24" s="33" t="str">
        <f>"moyenne générale "</f>
        <v xml:space="preserve">moyenne générale </v>
      </c>
      <c r="C24" s="35"/>
      <c r="D24" s="34"/>
      <c r="E24" s="25">
        <f>Calcule!L8</f>
        <v>0</v>
      </c>
      <c r="H24" s="47" t="str">
        <f>IF(Calcule!R26="","",Calcule!N26)</f>
        <v/>
      </c>
      <c r="I24" s="48"/>
      <c r="J24" s="48"/>
      <c r="K24" s="48"/>
      <c r="L24" s="48"/>
      <c r="M24" s="48"/>
      <c r="N24" s="48"/>
      <c r="O24" s="48"/>
      <c r="P24" s="49"/>
    </row>
    <row r="25" spans="2:16" ht="22.5" customHeight="1" thickBot="1" x14ac:dyDescent="0.3">
      <c r="B25" s="33" t="str">
        <f xml:space="preserve"> "blocs inférieurs à 8 "</f>
        <v xml:space="preserve">blocs inférieurs à 8 </v>
      </c>
      <c r="C25" s="35"/>
      <c r="D25" s="34"/>
      <c r="E25" s="25">
        <f>Calcule!N18</f>
        <v>0</v>
      </c>
      <c r="H25" s="50"/>
      <c r="I25" s="51"/>
      <c r="J25" s="51"/>
      <c r="K25" s="51"/>
      <c r="L25" s="51"/>
      <c r="M25" s="51"/>
      <c r="N25" s="51"/>
      <c r="O25" s="51"/>
      <c r="P25" s="52"/>
    </row>
    <row r="26" spans="2:16" ht="22.5" customHeight="1" thickBot="1" x14ac:dyDescent="0.3">
      <c r="B26" s="33" t="str">
        <f>"blocs supérieur ou égal à 10"</f>
        <v>blocs supérieur ou égal à 10</v>
      </c>
      <c r="C26" s="35"/>
      <c r="D26" s="34"/>
      <c r="E26" s="25">
        <f>Calcule!O17</f>
        <v>3</v>
      </c>
      <c r="H26" s="53"/>
      <c r="I26" s="54"/>
      <c r="J26" s="54"/>
      <c r="K26" s="54"/>
      <c r="L26" s="54"/>
      <c r="M26" s="54"/>
      <c r="N26" s="54"/>
      <c r="O26" s="54"/>
      <c r="P26" s="55"/>
    </row>
    <row r="27" spans="2:16" ht="22.5" customHeight="1" x14ac:dyDescent="0.25"/>
  </sheetData>
  <mergeCells count="12">
    <mergeCell ref="H24:P26"/>
    <mergeCell ref="B15:C15"/>
    <mergeCell ref="B18:C18"/>
    <mergeCell ref="B21:C21"/>
    <mergeCell ref="B17:C17"/>
    <mergeCell ref="B24:D24"/>
    <mergeCell ref="B20:C20"/>
    <mergeCell ref="B9:C9"/>
    <mergeCell ref="B25:D25"/>
    <mergeCell ref="B26:D26"/>
    <mergeCell ref="B4:D6"/>
    <mergeCell ref="B16:C16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AfficheUserForm">
          <controlPr defaultSize="0" autoLine="0" r:id="rId5">
            <anchor moveWithCells="1">
              <from>
                <xdr:col>1</xdr:col>
                <xdr:colOff>76200</xdr:colOff>
                <xdr:row>3</xdr:row>
                <xdr:rowOff>57150</xdr:rowOff>
              </from>
              <to>
                <xdr:col>3</xdr:col>
                <xdr:colOff>676275</xdr:colOff>
                <xdr:row>5</xdr:row>
                <xdr:rowOff>133350</xdr:rowOff>
              </to>
            </anchor>
          </controlPr>
        </control>
      </mc:Choice>
      <mc:Fallback>
        <control shapeId="2050" r:id="rId4" name="AfficheUserForm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1C2461B-FB2B-428F-AC3C-2BAC7F261365}">
            <xm:f>Calcule!R26="Vous ne passez pas en deuxième année."</xm:f>
            <x14:dxf>
              <font>
                <color rgb="FFC00000"/>
              </font>
              <fill>
                <patternFill>
                  <bgColor rgb="FFFF6D6D"/>
                </patternFill>
              </fill>
            </x14:dxf>
          </x14:cfRule>
          <x14:cfRule type="expression" priority="2" id="{1C20DD19-A736-4D9E-B196-5B0B0B9C38FD}">
            <xm:f>Calcule!R26="Vous passez en deuxième année."</xm:f>
            <x14:dxf>
              <font>
                <color rgb="FF006600"/>
              </font>
              <fill>
                <patternFill>
                  <bgColor rgb="FF92D050"/>
                </patternFill>
              </fill>
            </x14:dxf>
          </x14:cfRule>
          <xm:sqref>H24:P26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FA070-1F8B-43A7-AC98-FC6F911FA8C9}">
  <sheetPr codeName="Feuil2"/>
  <dimension ref="B1:K21"/>
  <sheetViews>
    <sheetView zoomScaleNormal="100" workbookViewId="0">
      <selection activeCell="A8" sqref="A8"/>
    </sheetView>
  </sheetViews>
  <sheetFormatPr baseColWidth="10" defaultRowHeight="15" x14ac:dyDescent="0.25"/>
  <cols>
    <col min="3" max="3" width="78.5703125" customWidth="1"/>
    <col min="10" max="10" width="11.42578125" style="22"/>
  </cols>
  <sheetData>
    <row r="1" spans="2:11" ht="22.5" customHeight="1" thickBot="1" x14ac:dyDescent="0.3">
      <c r="J1" s="21"/>
    </row>
    <row r="2" spans="2:11" ht="22.5" customHeight="1" thickBot="1" x14ac:dyDescent="0.3">
      <c r="B2" s="70" t="s">
        <v>42</v>
      </c>
      <c r="C2" s="4" t="s">
        <v>0</v>
      </c>
      <c r="D2" s="7"/>
      <c r="E2" s="73" t="s">
        <v>41</v>
      </c>
      <c r="F2" s="64">
        <f>IF(SUM(H2:H7)&gt;0,(H2*5+H3*15+H4*20+H5*20+H6*30+H7*10)/100,"")</f>
        <v>15.6</v>
      </c>
      <c r="G2" s="67" t="s">
        <v>18</v>
      </c>
      <c r="H2" s="12">
        <f>IF(COUNTA(J2:XFD2)&gt;0,AVERAGE(J2:XFD2),"")</f>
        <v>13</v>
      </c>
      <c r="I2" s="58" t="s">
        <v>17</v>
      </c>
      <c r="J2" s="31">
        <v>13</v>
      </c>
      <c r="K2" s="32"/>
    </row>
    <row r="3" spans="2:11" ht="22.5" customHeight="1" thickBot="1" x14ac:dyDescent="0.3">
      <c r="B3" s="71"/>
      <c r="C3" s="8" t="s">
        <v>2</v>
      </c>
      <c r="D3" s="7"/>
      <c r="E3" s="74"/>
      <c r="F3" s="65"/>
      <c r="G3" s="68"/>
      <c r="H3" s="12">
        <f t="shared" ref="H3:H21" si="0">IF(COUNTA(J3:XFD3)&gt;0,AVERAGE(J3:XFD3),"")</f>
        <v>15</v>
      </c>
      <c r="I3" s="59"/>
      <c r="J3" s="22">
        <v>15</v>
      </c>
    </row>
    <row r="4" spans="2:11" ht="23.25" customHeight="1" thickBot="1" x14ac:dyDescent="0.3">
      <c r="B4" s="71"/>
      <c r="C4" s="8" t="s">
        <v>3</v>
      </c>
      <c r="D4" s="7"/>
      <c r="E4" s="74"/>
      <c r="F4" s="65"/>
      <c r="G4" s="68"/>
      <c r="H4" s="12">
        <f t="shared" si="0"/>
        <v>13</v>
      </c>
      <c r="I4" s="59"/>
      <c r="J4" s="22">
        <v>13</v>
      </c>
    </row>
    <row r="5" spans="2:11" ht="22.5" customHeight="1" thickBot="1" x14ac:dyDescent="0.3">
      <c r="B5" s="71"/>
      <c r="C5" s="8" t="s">
        <v>4</v>
      </c>
      <c r="D5" s="7"/>
      <c r="E5" s="74"/>
      <c r="F5" s="65"/>
      <c r="G5" s="68"/>
      <c r="H5" s="12">
        <f t="shared" si="0"/>
        <v>15</v>
      </c>
      <c r="I5" s="59"/>
      <c r="J5" s="22">
        <v>15</v>
      </c>
    </row>
    <row r="6" spans="2:11" ht="22.5" customHeight="1" thickBot="1" x14ac:dyDescent="0.3">
      <c r="B6" s="71"/>
      <c r="C6" s="8" t="s">
        <v>5</v>
      </c>
      <c r="D6" s="7"/>
      <c r="E6" s="74"/>
      <c r="F6" s="65"/>
      <c r="G6" s="68"/>
      <c r="H6" s="12">
        <f t="shared" si="0"/>
        <v>18</v>
      </c>
      <c r="I6" s="59"/>
      <c r="J6" s="22">
        <v>18</v>
      </c>
    </row>
    <row r="7" spans="2:11" ht="22.5" customHeight="1" thickBot="1" x14ac:dyDescent="0.3">
      <c r="B7" s="72"/>
      <c r="C7" s="3" t="s">
        <v>6</v>
      </c>
      <c r="D7" s="7"/>
      <c r="E7" s="75"/>
      <c r="F7" s="66"/>
      <c r="G7" s="69"/>
      <c r="H7" s="12">
        <f t="shared" si="0"/>
        <v>17</v>
      </c>
      <c r="I7" s="60"/>
      <c r="J7" s="22">
        <v>17</v>
      </c>
    </row>
    <row r="8" spans="2:11" ht="22.5" customHeight="1" thickBot="1" x14ac:dyDescent="0.3">
      <c r="B8" s="1"/>
      <c r="C8" s="10"/>
      <c r="D8" s="7"/>
      <c r="E8" s="13"/>
      <c r="G8" s="14"/>
      <c r="H8" t="str">
        <f t="shared" si="0"/>
        <v/>
      </c>
    </row>
    <row r="9" spans="2:11" ht="22.5" customHeight="1" thickBot="1" x14ac:dyDescent="0.3">
      <c r="B9" s="70" t="s">
        <v>43</v>
      </c>
      <c r="C9" s="4" t="s">
        <v>0</v>
      </c>
      <c r="D9" s="7"/>
      <c r="E9" s="73" t="s">
        <v>41</v>
      </c>
      <c r="F9" s="64">
        <f>IF(SUM(H9:H13)&gt;0,(H9*5+H10*20+H11*15+H12*20+H13*40)/100,"")</f>
        <v>16.05</v>
      </c>
      <c r="G9" s="67" t="s">
        <v>18</v>
      </c>
      <c r="H9" s="12">
        <f>IF(COUNTA(J9:XFD9)&gt;0,AVERAGE(J9:XFD9),"")</f>
        <v>13</v>
      </c>
      <c r="I9" s="58" t="s">
        <v>17</v>
      </c>
      <c r="J9" s="31">
        <v>13</v>
      </c>
    </row>
    <row r="10" spans="2:11" ht="22.5" customHeight="1" thickBot="1" x14ac:dyDescent="0.3">
      <c r="B10" s="71"/>
      <c r="C10" s="5" t="s">
        <v>7</v>
      </c>
      <c r="D10" s="7"/>
      <c r="E10" s="74"/>
      <c r="F10" s="65"/>
      <c r="G10" s="68"/>
      <c r="H10" s="12">
        <f t="shared" si="0"/>
        <v>17</v>
      </c>
      <c r="I10" s="59"/>
      <c r="J10" s="22">
        <v>17</v>
      </c>
    </row>
    <row r="11" spans="2:11" ht="22.5" customHeight="1" thickBot="1" x14ac:dyDescent="0.3">
      <c r="B11" s="71"/>
      <c r="C11" s="5" t="s">
        <v>8</v>
      </c>
      <c r="D11" s="7"/>
      <c r="E11" s="74"/>
      <c r="F11" s="65"/>
      <c r="G11" s="68"/>
      <c r="H11" s="12">
        <f t="shared" si="0"/>
        <v>16</v>
      </c>
      <c r="I11" s="59"/>
      <c r="J11" s="22">
        <v>16</v>
      </c>
    </row>
    <row r="12" spans="2:11" ht="22.5" customHeight="1" thickBot="1" x14ac:dyDescent="0.3">
      <c r="B12" s="71"/>
      <c r="C12" s="5" t="s">
        <v>9</v>
      </c>
      <c r="D12" s="7"/>
      <c r="E12" s="74"/>
      <c r="F12" s="65"/>
      <c r="G12" s="68"/>
      <c r="H12" s="12">
        <f t="shared" si="0"/>
        <v>18</v>
      </c>
      <c r="I12" s="59"/>
      <c r="J12" s="22">
        <v>18</v>
      </c>
    </row>
    <row r="13" spans="2:11" ht="22.5" customHeight="1" thickBot="1" x14ac:dyDescent="0.3">
      <c r="B13" s="72"/>
      <c r="C13" s="11" t="s">
        <v>10</v>
      </c>
      <c r="D13" s="7"/>
      <c r="E13" s="75"/>
      <c r="F13" s="66"/>
      <c r="G13" s="69"/>
      <c r="H13" s="12">
        <f t="shared" si="0"/>
        <v>15</v>
      </c>
      <c r="I13" s="60"/>
      <c r="J13" s="22">
        <v>15</v>
      </c>
    </row>
    <row r="14" spans="2:11" ht="22.5" customHeight="1" thickBot="1" x14ac:dyDescent="0.3">
      <c r="B14" s="1"/>
      <c r="C14" s="10"/>
      <c r="D14" s="7"/>
      <c r="E14" s="13"/>
      <c r="G14" s="15"/>
      <c r="H14" t="str">
        <f t="shared" si="0"/>
        <v/>
      </c>
      <c r="I14" s="15"/>
    </row>
    <row r="15" spans="2:11" ht="22.5" customHeight="1" thickBot="1" x14ac:dyDescent="0.3">
      <c r="B15" s="70" t="s">
        <v>44</v>
      </c>
      <c r="C15" s="4" t="s">
        <v>0</v>
      </c>
      <c r="D15" s="7"/>
      <c r="E15" s="73" t="s">
        <v>41</v>
      </c>
      <c r="F15" s="64">
        <f>IF(SUM(H15:H21)&gt;0,(H15*5+H16*15+H17*15+H18*25+H19*15+H20*10+H21*15)/100,"")</f>
        <v>14.6</v>
      </c>
      <c r="G15" s="67" t="s">
        <v>18</v>
      </c>
      <c r="H15" s="12">
        <f>IF(COUNTA(J15:XFD15)&gt;0,AVERAGE(J15:XFD15),"")</f>
        <v>13</v>
      </c>
      <c r="I15" s="61" t="s">
        <v>17</v>
      </c>
      <c r="J15" s="31">
        <v>13</v>
      </c>
    </row>
    <row r="16" spans="2:11" ht="22.5" customHeight="1" thickBot="1" x14ac:dyDescent="0.3">
      <c r="B16" s="71"/>
      <c r="C16" s="6" t="s">
        <v>11</v>
      </c>
      <c r="D16" s="7"/>
      <c r="E16" s="74"/>
      <c r="F16" s="65"/>
      <c r="G16" s="68"/>
      <c r="H16" s="12">
        <f t="shared" si="0"/>
        <v>12</v>
      </c>
      <c r="I16" s="62"/>
      <c r="J16" s="22">
        <v>12</v>
      </c>
    </row>
    <row r="17" spans="2:10" ht="22.5" customHeight="1" thickBot="1" x14ac:dyDescent="0.3">
      <c r="B17" s="71"/>
      <c r="C17" s="6" t="s">
        <v>12</v>
      </c>
      <c r="D17" s="7"/>
      <c r="E17" s="74"/>
      <c r="F17" s="65"/>
      <c r="G17" s="68"/>
      <c r="H17" s="12">
        <f t="shared" si="0"/>
        <v>2</v>
      </c>
      <c r="I17" s="62"/>
      <c r="J17" s="22">
        <v>2</v>
      </c>
    </row>
    <row r="18" spans="2:10" ht="22.5" customHeight="1" thickBot="1" x14ac:dyDescent="0.3">
      <c r="B18" s="71"/>
      <c r="C18" s="6" t="s">
        <v>13</v>
      </c>
      <c r="D18" s="7"/>
      <c r="E18" s="74"/>
      <c r="F18" s="65"/>
      <c r="G18" s="68"/>
      <c r="H18" s="12">
        <f t="shared" si="0"/>
        <v>20</v>
      </c>
      <c r="I18" s="62"/>
      <c r="J18" s="22">
        <v>20</v>
      </c>
    </row>
    <row r="19" spans="2:10" ht="22.5" customHeight="1" thickBot="1" x14ac:dyDescent="0.3">
      <c r="B19" s="71"/>
      <c r="C19" s="6" t="s">
        <v>14</v>
      </c>
      <c r="D19" s="7"/>
      <c r="E19" s="74"/>
      <c r="F19" s="65"/>
      <c r="G19" s="68"/>
      <c r="H19" s="12">
        <f t="shared" si="0"/>
        <v>14</v>
      </c>
      <c r="I19" s="62"/>
      <c r="J19" s="22">
        <v>14</v>
      </c>
    </row>
    <row r="20" spans="2:10" ht="22.5" customHeight="1" thickBot="1" x14ac:dyDescent="0.3">
      <c r="B20" s="71"/>
      <c r="C20" s="6" t="s">
        <v>15</v>
      </c>
      <c r="D20" s="7"/>
      <c r="E20" s="74"/>
      <c r="F20" s="65"/>
      <c r="G20" s="68"/>
      <c r="H20" s="12">
        <f t="shared" si="0"/>
        <v>10</v>
      </c>
      <c r="I20" s="62"/>
      <c r="J20" s="22">
        <v>10</v>
      </c>
    </row>
    <row r="21" spans="2:10" ht="22.5" customHeight="1" thickBot="1" x14ac:dyDescent="0.3">
      <c r="B21" s="72"/>
      <c r="C21" s="6" t="s">
        <v>16</v>
      </c>
      <c r="D21" s="7"/>
      <c r="E21" s="75"/>
      <c r="F21" s="66"/>
      <c r="G21" s="69"/>
      <c r="H21" s="12">
        <f t="shared" si="0"/>
        <v>25</v>
      </c>
      <c r="I21" s="63"/>
      <c r="J21" s="22">
        <v>25</v>
      </c>
    </row>
  </sheetData>
  <mergeCells count="15">
    <mergeCell ref="B2:B7"/>
    <mergeCell ref="E2:E7"/>
    <mergeCell ref="B9:B13"/>
    <mergeCell ref="E9:E13"/>
    <mergeCell ref="B15:B21"/>
    <mergeCell ref="E15:E21"/>
    <mergeCell ref="I9:I13"/>
    <mergeCell ref="I15:I21"/>
    <mergeCell ref="F15:F21"/>
    <mergeCell ref="G2:G7"/>
    <mergeCell ref="G9:G13"/>
    <mergeCell ref="G15:G21"/>
    <mergeCell ref="F2:F7"/>
    <mergeCell ref="I2:I7"/>
    <mergeCell ref="F9:F13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RetourMenu1">
          <controlPr defaultSize="0" autoLine="0" r:id="rId5">
            <anchor moveWithCells="1">
              <from>
                <xdr:col>0</xdr:col>
                <xdr:colOff>66675</xdr:colOff>
                <xdr:row>0</xdr:row>
                <xdr:rowOff>257175</xdr:rowOff>
              </from>
              <to>
                <xdr:col>0</xdr:col>
                <xdr:colOff>571500</xdr:colOff>
                <xdr:row>20</xdr:row>
                <xdr:rowOff>266700</xdr:rowOff>
              </to>
            </anchor>
          </controlPr>
        </control>
      </mc:Choice>
      <mc:Fallback>
        <control shapeId="3073" r:id="rId4" name="RetourMenu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7EA4-BB4C-41B8-AABF-F6E1F0033613}">
  <sheetPr codeName="Feuil3"/>
  <dimension ref="B1:J30"/>
  <sheetViews>
    <sheetView topLeftCell="A10" zoomScaleNormal="100" workbookViewId="0">
      <selection activeCell="C11" sqref="C11"/>
    </sheetView>
  </sheetViews>
  <sheetFormatPr baseColWidth="10" defaultRowHeight="15" x14ac:dyDescent="0.25"/>
  <cols>
    <col min="3" max="3" width="78.5703125" customWidth="1"/>
    <col min="10" max="10" width="11.42578125" style="22"/>
  </cols>
  <sheetData>
    <row r="1" spans="2:10" ht="15.75" thickBot="1" x14ac:dyDescent="0.3">
      <c r="J1" s="21"/>
    </row>
    <row r="2" spans="2:10" ht="22.5" customHeight="1" thickBot="1" x14ac:dyDescent="0.3">
      <c r="B2" s="70" t="s">
        <v>45</v>
      </c>
      <c r="C2" s="4" t="s">
        <v>19</v>
      </c>
      <c r="D2" s="7"/>
      <c r="E2" s="73" t="s">
        <v>41</v>
      </c>
      <c r="F2" s="64">
        <f>IF(SUM(H2:H10)&gt;0,(H2*5+H3*15+H4*15+H5*15+H6*10+H7*20+H8*10+H9*5+H10*5)/100,"")</f>
        <v>13.15</v>
      </c>
      <c r="G2" s="67" t="s">
        <v>18</v>
      </c>
      <c r="H2" s="12">
        <f t="shared" ref="H2:H10" si="0">IF(COUNTA(J2:XFD2)&gt;0,AVERAGE(J2:XFD2),"")</f>
        <v>17</v>
      </c>
      <c r="I2" s="58" t="s">
        <v>17</v>
      </c>
      <c r="J2" s="22">
        <v>17</v>
      </c>
    </row>
    <row r="3" spans="2:10" ht="22.5" customHeight="1" thickBot="1" x14ac:dyDescent="0.3">
      <c r="B3" s="71"/>
      <c r="C3" s="8" t="s">
        <v>20</v>
      </c>
      <c r="D3" s="7"/>
      <c r="E3" s="74"/>
      <c r="F3" s="65"/>
      <c r="G3" s="68"/>
      <c r="H3" s="12">
        <f t="shared" si="0"/>
        <v>12</v>
      </c>
      <c r="I3" s="59"/>
      <c r="J3" s="22">
        <v>12</v>
      </c>
    </row>
    <row r="4" spans="2:10" ht="22.5" customHeight="1" thickBot="1" x14ac:dyDescent="0.3">
      <c r="B4" s="71"/>
      <c r="C4" s="8" t="s">
        <v>21</v>
      </c>
      <c r="D4" s="7"/>
      <c r="E4" s="74"/>
      <c r="F4" s="65"/>
      <c r="G4" s="68"/>
      <c r="H4" s="12">
        <f t="shared" si="0"/>
        <v>10</v>
      </c>
      <c r="I4" s="59"/>
      <c r="J4" s="22">
        <v>10</v>
      </c>
    </row>
    <row r="5" spans="2:10" ht="22.5" customHeight="1" thickBot="1" x14ac:dyDescent="0.3">
      <c r="B5" s="71"/>
      <c r="C5" s="8" t="s">
        <v>22</v>
      </c>
      <c r="D5" s="7"/>
      <c r="E5" s="74"/>
      <c r="F5" s="65"/>
      <c r="G5" s="68"/>
      <c r="H5" s="12">
        <f t="shared" si="0"/>
        <v>14</v>
      </c>
      <c r="I5" s="59"/>
      <c r="J5" s="22">
        <v>14</v>
      </c>
    </row>
    <row r="6" spans="2:10" ht="22.5" customHeight="1" thickBot="1" x14ac:dyDescent="0.3">
      <c r="B6" s="71"/>
      <c r="C6" s="8" t="s">
        <v>23</v>
      </c>
      <c r="D6" s="7"/>
      <c r="E6" s="74"/>
      <c r="F6" s="65"/>
      <c r="G6" s="68"/>
      <c r="H6" s="12">
        <f t="shared" si="0"/>
        <v>16</v>
      </c>
      <c r="I6" s="59"/>
      <c r="J6" s="22">
        <v>16</v>
      </c>
    </row>
    <row r="7" spans="2:10" ht="22.5" customHeight="1" thickBot="1" x14ac:dyDescent="0.3">
      <c r="B7" s="71"/>
      <c r="C7" s="9" t="s">
        <v>24</v>
      </c>
      <c r="D7" s="7"/>
      <c r="E7" s="74"/>
      <c r="F7" s="65"/>
      <c r="G7" s="68"/>
      <c r="H7" s="12">
        <f t="shared" si="0"/>
        <v>13</v>
      </c>
      <c r="I7" s="59"/>
      <c r="J7" s="22">
        <v>13</v>
      </c>
    </row>
    <row r="8" spans="2:10" ht="22.5" customHeight="1" thickBot="1" x14ac:dyDescent="0.3">
      <c r="B8" s="71"/>
      <c r="C8" s="8" t="s">
        <v>25</v>
      </c>
      <c r="D8" s="7"/>
      <c r="E8" s="74"/>
      <c r="F8" s="65"/>
      <c r="G8" s="68"/>
      <c r="H8" s="12">
        <f t="shared" si="0"/>
        <v>17</v>
      </c>
      <c r="I8" s="59"/>
      <c r="J8" s="22">
        <v>17</v>
      </c>
    </row>
    <row r="9" spans="2:10" ht="22.5" customHeight="1" thickBot="1" x14ac:dyDescent="0.3">
      <c r="B9" s="71"/>
      <c r="C9" s="9" t="s">
        <v>26</v>
      </c>
      <c r="D9" s="7"/>
      <c r="E9" s="74"/>
      <c r="F9" s="65"/>
      <c r="G9" s="68"/>
      <c r="H9" s="12">
        <f t="shared" si="0"/>
        <v>10</v>
      </c>
      <c r="I9" s="59"/>
      <c r="J9" s="22">
        <v>10</v>
      </c>
    </row>
    <row r="10" spans="2:10" ht="22.5" customHeight="1" thickBot="1" x14ac:dyDescent="0.3">
      <c r="B10" s="72"/>
      <c r="C10" s="9" t="s">
        <v>27</v>
      </c>
      <c r="D10" s="7"/>
      <c r="E10" s="75"/>
      <c r="F10" s="66"/>
      <c r="G10" s="69"/>
      <c r="H10" s="12">
        <f t="shared" si="0"/>
        <v>10</v>
      </c>
      <c r="I10" s="60"/>
      <c r="J10" s="22">
        <v>10</v>
      </c>
    </row>
    <row r="11" spans="2:10" ht="22.5" customHeight="1" thickBot="1" x14ac:dyDescent="0.3">
      <c r="B11" s="1"/>
      <c r="C11" s="2"/>
      <c r="D11" s="7"/>
    </row>
    <row r="12" spans="2:10" ht="22.5" customHeight="1" thickBot="1" x14ac:dyDescent="0.3">
      <c r="B12" s="70" t="s">
        <v>46</v>
      </c>
      <c r="C12" s="4" t="s">
        <v>19</v>
      </c>
      <c r="D12" s="7"/>
      <c r="E12" s="73" t="s">
        <v>41</v>
      </c>
      <c r="F12" s="64">
        <f>IF(SUM(H12:H21)&gt;0,(H12*5+H13*10+H14*15+H15*15+H16*15+H17*10+H18*10+H19*10+H20*5+H21*5)/100,"")</f>
        <v>13.65</v>
      </c>
      <c r="G12" s="67" t="s">
        <v>18</v>
      </c>
      <c r="H12" s="12">
        <f t="shared" ref="H12:H21" si="1">IF(COUNTA(J12:XFD12)&gt;0,AVERAGE(J12:XFD12),"")</f>
        <v>17</v>
      </c>
      <c r="I12" s="58" t="s">
        <v>17</v>
      </c>
      <c r="J12" s="22">
        <v>17</v>
      </c>
    </row>
    <row r="13" spans="2:10" ht="22.5" customHeight="1" thickBot="1" x14ac:dyDescent="0.3">
      <c r="B13" s="71"/>
      <c r="C13" s="5" t="s">
        <v>28</v>
      </c>
      <c r="D13" s="7"/>
      <c r="E13" s="74"/>
      <c r="F13" s="65"/>
      <c r="G13" s="68"/>
      <c r="H13" s="12">
        <f t="shared" si="1"/>
        <v>10</v>
      </c>
      <c r="I13" s="59"/>
      <c r="J13" s="22">
        <v>10</v>
      </c>
    </row>
    <row r="14" spans="2:10" ht="22.5" customHeight="1" thickBot="1" x14ac:dyDescent="0.3">
      <c r="B14" s="71"/>
      <c r="C14" s="5" t="s">
        <v>29</v>
      </c>
      <c r="D14" s="7"/>
      <c r="E14" s="74"/>
      <c r="F14" s="65"/>
      <c r="G14" s="68"/>
      <c r="H14" s="12">
        <f t="shared" si="1"/>
        <v>13</v>
      </c>
      <c r="I14" s="59"/>
      <c r="J14" s="22">
        <v>13</v>
      </c>
    </row>
    <row r="15" spans="2:10" ht="22.5" customHeight="1" thickBot="1" x14ac:dyDescent="0.3">
      <c r="B15" s="71"/>
      <c r="C15" s="5" t="s">
        <v>30</v>
      </c>
      <c r="D15" s="7"/>
      <c r="E15" s="74"/>
      <c r="F15" s="65"/>
      <c r="G15" s="68"/>
      <c r="H15" s="12">
        <f t="shared" si="1"/>
        <v>12</v>
      </c>
      <c r="I15" s="59"/>
      <c r="J15" s="22">
        <v>12</v>
      </c>
    </row>
    <row r="16" spans="2:10" ht="22.5" customHeight="1" thickBot="1" x14ac:dyDescent="0.3">
      <c r="B16" s="71"/>
      <c r="C16" s="5" t="s">
        <v>31</v>
      </c>
      <c r="D16" s="7"/>
      <c r="E16" s="74"/>
      <c r="F16" s="65"/>
      <c r="G16" s="68"/>
      <c r="H16" s="12">
        <f t="shared" si="1"/>
        <v>15</v>
      </c>
      <c r="I16" s="59"/>
      <c r="J16" s="22">
        <v>15</v>
      </c>
    </row>
    <row r="17" spans="2:10" ht="22.5" customHeight="1" thickBot="1" x14ac:dyDescent="0.3">
      <c r="B17" s="71"/>
      <c r="C17" s="9" t="s">
        <v>24</v>
      </c>
      <c r="D17" s="7"/>
      <c r="E17" s="74"/>
      <c r="F17" s="65"/>
      <c r="G17" s="68"/>
      <c r="H17" s="12">
        <f t="shared" si="1"/>
        <v>13</v>
      </c>
      <c r="I17" s="59"/>
      <c r="J17" s="22">
        <v>13</v>
      </c>
    </row>
    <row r="18" spans="2:10" ht="22.5" customHeight="1" thickBot="1" x14ac:dyDescent="0.3">
      <c r="B18" s="71"/>
      <c r="C18" s="5" t="s">
        <v>32</v>
      </c>
      <c r="D18" s="7"/>
      <c r="E18" s="74"/>
      <c r="F18" s="65"/>
      <c r="G18" s="68"/>
      <c r="H18" s="12">
        <f t="shared" si="1"/>
        <v>17</v>
      </c>
      <c r="I18" s="59"/>
      <c r="J18" s="22">
        <v>17</v>
      </c>
    </row>
    <row r="19" spans="2:10" ht="22.5" customHeight="1" thickBot="1" x14ac:dyDescent="0.3">
      <c r="B19" s="71"/>
      <c r="C19" s="5" t="s">
        <v>33</v>
      </c>
      <c r="D19" s="7"/>
      <c r="E19" s="74"/>
      <c r="F19" s="65"/>
      <c r="G19" s="68"/>
      <c r="H19" s="12">
        <f t="shared" si="1"/>
        <v>18</v>
      </c>
      <c r="I19" s="59"/>
      <c r="J19" s="22">
        <v>18</v>
      </c>
    </row>
    <row r="20" spans="2:10" ht="22.5" customHeight="1" thickBot="1" x14ac:dyDescent="0.3">
      <c r="B20" s="71"/>
      <c r="C20" s="9" t="s">
        <v>26</v>
      </c>
      <c r="D20" s="7"/>
      <c r="E20" s="74"/>
      <c r="F20" s="65"/>
      <c r="G20" s="68"/>
      <c r="H20" s="12">
        <f t="shared" si="1"/>
        <v>10</v>
      </c>
      <c r="I20" s="59"/>
      <c r="J20" s="22">
        <v>10</v>
      </c>
    </row>
    <row r="21" spans="2:10" ht="22.5" customHeight="1" thickBot="1" x14ac:dyDescent="0.3">
      <c r="B21" s="72"/>
      <c r="C21" s="9" t="s">
        <v>27</v>
      </c>
      <c r="D21" s="7"/>
      <c r="E21" s="75"/>
      <c r="F21" s="66"/>
      <c r="G21" s="69"/>
      <c r="H21" s="12">
        <f t="shared" si="1"/>
        <v>10</v>
      </c>
      <c r="I21" s="60"/>
      <c r="J21" s="22">
        <v>10</v>
      </c>
    </row>
    <row r="22" spans="2:10" ht="22.5" customHeight="1" thickBot="1" x14ac:dyDescent="0.3">
      <c r="B22" s="1"/>
      <c r="C22" s="2"/>
      <c r="D22" s="7"/>
    </row>
    <row r="23" spans="2:10" ht="22.5" customHeight="1" thickBot="1" x14ac:dyDescent="0.3">
      <c r="B23" s="70" t="s">
        <v>47</v>
      </c>
      <c r="C23" s="4" t="s">
        <v>19</v>
      </c>
      <c r="D23" s="7"/>
      <c r="E23" s="73" t="s">
        <v>41</v>
      </c>
      <c r="F23" s="64">
        <f>IF(SUM(H23:H30)&gt;0,(H23*5+H24*15+H25*15+H26*25+H27*20+H28*10+H29*5+H30*5)/100,"")</f>
        <v>8.6999999999999993</v>
      </c>
      <c r="G23" s="67" t="s">
        <v>18</v>
      </c>
      <c r="H23" s="12">
        <f t="shared" ref="H23:H30" si="2">IF(COUNTA(J23:XFD23)&gt;0,AVERAGE(J23:XFD23),"")</f>
        <v>17</v>
      </c>
      <c r="I23" s="58" t="s">
        <v>17</v>
      </c>
      <c r="J23" s="22">
        <v>17</v>
      </c>
    </row>
    <row r="24" spans="2:10" ht="22.5" customHeight="1" thickBot="1" x14ac:dyDescent="0.3">
      <c r="B24" s="71"/>
      <c r="C24" s="6" t="s">
        <v>34</v>
      </c>
      <c r="D24" s="7"/>
      <c r="E24" s="74"/>
      <c r="F24" s="65"/>
      <c r="G24" s="68"/>
      <c r="H24" s="12">
        <f t="shared" si="2"/>
        <v>18</v>
      </c>
      <c r="I24" s="59"/>
      <c r="J24" s="22">
        <v>18</v>
      </c>
    </row>
    <row r="25" spans="2:10" ht="22.5" customHeight="1" thickBot="1" x14ac:dyDescent="0.3">
      <c r="B25" s="71"/>
      <c r="C25" s="6" t="s">
        <v>35</v>
      </c>
      <c r="D25" s="7"/>
      <c r="E25" s="74"/>
      <c r="F25" s="65"/>
      <c r="G25" s="68"/>
      <c r="H25" s="12">
        <f t="shared" si="2"/>
        <v>5</v>
      </c>
      <c r="I25" s="59"/>
      <c r="J25" s="22">
        <v>5</v>
      </c>
    </row>
    <row r="26" spans="2:10" ht="22.5" customHeight="1" thickBot="1" x14ac:dyDescent="0.3">
      <c r="B26" s="71"/>
      <c r="C26" s="6" t="s">
        <v>36</v>
      </c>
      <c r="D26" s="7"/>
      <c r="E26" s="74"/>
      <c r="F26" s="65"/>
      <c r="G26" s="68"/>
      <c r="H26" s="12">
        <f t="shared" si="2"/>
        <v>2</v>
      </c>
      <c r="I26" s="59"/>
      <c r="J26" s="22">
        <v>2</v>
      </c>
    </row>
    <row r="27" spans="2:10" ht="22.5" customHeight="1" thickBot="1" x14ac:dyDescent="0.3">
      <c r="B27" s="71"/>
      <c r="C27" s="9" t="s">
        <v>24</v>
      </c>
      <c r="D27" s="7"/>
      <c r="E27" s="74"/>
      <c r="F27" s="65"/>
      <c r="G27" s="68"/>
      <c r="H27" s="12">
        <f t="shared" si="2"/>
        <v>13</v>
      </c>
      <c r="I27" s="59"/>
      <c r="J27" s="22">
        <v>13</v>
      </c>
    </row>
    <row r="28" spans="2:10" ht="22.5" customHeight="1" thickBot="1" x14ac:dyDescent="0.3">
      <c r="B28" s="71"/>
      <c r="C28" s="6" t="s">
        <v>37</v>
      </c>
      <c r="D28" s="7"/>
      <c r="E28" s="74"/>
      <c r="F28" s="65"/>
      <c r="G28" s="68"/>
      <c r="H28" s="12">
        <f t="shared" si="2"/>
        <v>3</v>
      </c>
      <c r="I28" s="59"/>
      <c r="J28" s="22">
        <v>3</v>
      </c>
    </row>
    <row r="29" spans="2:10" ht="22.5" customHeight="1" thickBot="1" x14ac:dyDescent="0.3">
      <c r="B29" s="71"/>
      <c r="C29" s="9" t="s">
        <v>26</v>
      </c>
      <c r="D29" s="7"/>
      <c r="E29" s="74"/>
      <c r="F29" s="65"/>
      <c r="G29" s="68"/>
      <c r="H29" s="12">
        <f t="shared" si="2"/>
        <v>10</v>
      </c>
      <c r="I29" s="59"/>
      <c r="J29" s="22">
        <v>10</v>
      </c>
    </row>
    <row r="30" spans="2:10" ht="22.5" customHeight="1" thickBot="1" x14ac:dyDescent="0.3">
      <c r="B30" s="72"/>
      <c r="C30" s="9" t="s">
        <v>27</v>
      </c>
      <c r="D30" s="7"/>
      <c r="E30" s="75"/>
      <c r="F30" s="66"/>
      <c r="G30" s="69"/>
      <c r="H30" s="12">
        <f t="shared" si="2"/>
        <v>10</v>
      </c>
      <c r="I30" s="60"/>
      <c r="J30" s="22">
        <v>10</v>
      </c>
    </row>
  </sheetData>
  <mergeCells count="15">
    <mergeCell ref="B2:B10"/>
    <mergeCell ref="B12:B21"/>
    <mergeCell ref="B23:B30"/>
    <mergeCell ref="E23:E30"/>
    <mergeCell ref="G23:G30"/>
    <mergeCell ref="G2:G10"/>
    <mergeCell ref="E2:E10"/>
    <mergeCell ref="E12:E21"/>
    <mergeCell ref="G12:G21"/>
    <mergeCell ref="F23:F30"/>
    <mergeCell ref="I23:I30"/>
    <mergeCell ref="I12:I21"/>
    <mergeCell ref="F12:F21"/>
    <mergeCell ref="I2:I10"/>
    <mergeCell ref="F2:F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RetourMenu2">
          <controlPr defaultSize="0" autoLine="0" autoPict="0" r:id="rId4">
            <anchor moveWithCells="1">
              <from>
                <xdr:col>0</xdr:col>
                <xdr:colOff>152400</xdr:colOff>
                <xdr:row>1</xdr:row>
                <xdr:rowOff>0</xdr:rowOff>
              </from>
              <to>
                <xdr:col>0</xdr:col>
                <xdr:colOff>666750</xdr:colOff>
                <xdr:row>30</xdr:row>
                <xdr:rowOff>9525</xdr:rowOff>
              </to>
            </anchor>
          </controlPr>
        </control>
      </mc:Choice>
      <mc:Fallback>
        <control shapeId="4097" r:id="rId3" name="RetourMenu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6EDA0-6DC4-4DC9-B1CE-2B2F78DFFF12}">
  <sheetPr codeName="Feuil4"/>
  <dimension ref="B4:O57"/>
  <sheetViews>
    <sheetView topLeftCell="G4" workbookViewId="0">
      <selection activeCell="N26" sqref="N26"/>
    </sheetView>
  </sheetViews>
  <sheetFormatPr baseColWidth="10" defaultRowHeight="15" x14ac:dyDescent="0.25"/>
  <cols>
    <col min="3" max="3" width="78.5703125" customWidth="1"/>
    <col min="9" max="9" width="13.7109375" bestFit="1" customWidth="1"/>
  </cols>
  <sheetData>
    <row r="4" spans="2:15" x14ac:dyDescent="0.25">
      <c r="C4" t="s">
        <v>38</v>
      </c>
      <c r="D4" t="s">
        <v>39</v>
      </c>
      <c r="E4" t="s">
        <v>40</v>
      </c>
    </row>
    <row r="5" spans="2:15" ht="22.5" customHeight="1" x14ac:dyDescent="0.25">
      <c r="B5" s="14"/>
      <c r="C5" s="17" t="s">
        <v>0</v>
      </c>
      <c r="D5" s="7">
        <v>5</v>
      </c>
      <c r="E5" s="19" t="s">
        <v>1</v>
      </c>
    </row>
    <row r="6" spans="2:15" ht="22.5" customHeight="1" x14ac:dyDescent="0.25">
      <c r="B6" s="14"/>
      <c r="C6" s="17" t="s">
        <v>2</v>
      </c>
      <c r="D6" s="7">
        <v>15</v>
      </c>
      <c r="E6" s="19"/>
    </row>
    <row r="7" spans="2:15" ht="22.5" customHeight="1" x14ac:dyDescent="0.25">
      <c r="B7" s="14"/>
      <c r="C7" s="17" t="s">
        <v>3</v>
      </c>
      <c r="D7" s="7">
        <v>20</v>
      </c>
      <c r="E7" s="19"/>
    </row>
    <row r="8" spans="2:15" ht="22.5" customHeight="1" x14ac:dyDescent="0.25">
      <c r="B8" s="14"/>
      <c r="C8" s="17" t="s">
        <v>4</v>
      </c>
      <c r="D8" s="7">
        <v>20</v>
      </c>
      <c r="E8" s="19"/>
    </row>
    <row r="9" spans="2:15" ht="22.5" customHeight="1" x14ac:dyDescent="0.25">
      <c r="B9" s="14"/>
      <c r="C9" s="17" t="s">
        <v>5</v>
      </c>
      <c r="D9" s="7">
        <v>30</v>
      </c>
      <c r="E9" s="19"/>
    </row>
    <row r="10" spans="2:15" ht="22.5" customHeight="1" x14ac:dyDescent="0.25">
      <c r="B10" s="14"/>
      <c r="C10" s="17" t="s">
        <v>6</v>
      </c>
      <c r="D10" s="7">
        <v>10</v>
      </c>
      <c r="E10" s="19"/>
      <c r="N10" t="s">
        <v>48</v>
      </c>
    </row>
    <row r="11" spans="2:15" ht="22.5" customHeight="1" x14ac:dyDescent="0.25">
      <c r="B11" s="14"/>
      <c r="C11" s="10"/>
      <c r="D11" s="7"/>
      <c r="E11" s="18"/>
      <c r="J11" s="76" t="s">
        <v>57</v>
      </c>
      <c r="K11" t="s">
        <v>42</v>
      </c>
      <c r="L11" s="28">
        <f>'S1'!F2</f>
        <v>15.6</v>
      </c>
      <c r="M11" t="s">
        <v>49</v>
      </c>
      <c r="N11">
        <f>AVERAGE(L11,L14)</f>
        <v>14.375</v>
      </c>
    </row>
    <row r="12" spans="2:15" ht="22.5" customHeight="1" x14ac:dyDescent="0.25">
      <c r="B12" s="14"/>
      <c r="C12" s="17" t="s">
        <v>0</v>
      </c>
      <c r="D12" s="7">
        <v>5</v>
      </c>
      <c r="E12" s="19" t="s">
        <v>1</v>
      </c>
      <c r="J12" s="76"/>
      <c r="K12" t="s">
        <v>43</v>
      </c>
      <c r="L12" s="28">
        <f>'S1'!F9</f>
        <v>16.05</v>
      </c>
      <c r="M12" t="s">
        <v>50</v>
      </c>
      <c r="N12">
        <f>AVERAGE(L12,L15)</f>
        <v>14.850000000000001</v>
      </c>
    </row>
    <row r="13" spans="2:15" ht="22.5" customHeight="1" x14ac:dyDescent="0.25">
      <c r="B13" s="14"/>
      <c r="C13" s="17" t="s">
        <v>7</v>
      </c>
      <c r="D13" s="7">
        <v>20</v>
      </c>
      <c r="E13" s="19"/>
      <c r="J13" s="76"/>
      <c r="K13" t="s">
        <v>44</v>
      </c>
      <c r="L13" s="28">
        <f>'S1'!F15</f>
        <v>14.6</v>
      </c>
      <c r="M13" t="s">
        <v>51</v>
      </c>
      <c r="N13">
        <f>AVERAGE(L13,L16)</f>
        <v>11.649999999999999</v>
      </c>
    </row>
    <row r="14" spans="2:15" ht="22.5" customHeight="1" x14ac:dyDescent="0.25">
      <c r="B14" s="14"/>
      <c r="C14" s="17" t="s">
        <v>8</v>
      </c>
      <c r="D14" s="7">
        <v>15</v>
      </c>
      <c r="E14" s="19"/>
      <c r="J14" s="76" t="s">
        <v>56</v>
      </c>
      <c r="K14" t="s">
        <v>42</v>
      </c>
      <c r="L14" s="28">
        <f>'S2'!F2</f>
        <v>13.15</v>
      </c>
    </row>
    <row r="15" spans="2:15" ht="22.5" customHeight="1" x14ac:dyDescent="0.25">
      <c r="B15" s="14"/>
      <c r="C15" s="17" t="s">
        <v>9</v>
      </c>
      <c r="D15" s="7">
        <v>20</v>
      </c>
      <c r="E15" s="19"/>
      <c r="J15" s="76"/>
      <c r="K15" t="s">
        <v>43</v>
      </c>
      <c r="L15" s="28">
        <f>'S2'!F12</f>
        <v>13.65</v>
      </c>
    </row>
    <row r="16" spans="2:15" ht="22.5" customHeight="1" x14ac:dyDescent="0.25">
      <c r="B16" s="14"/>
      <c r="C16" s="17" t="s">
        <v>10</v>
      </c>
      <c r="D16" s="7">
        <v>40</v>
      </c>
      <c r="E16" s="19"/>
      <c r="J16" s="76"/>
      <c r="K16" t="s">
        <v>44</v>
      </c>
      <c r="L16" s="28">
        <f>'S2'!F23</f>
        <v>8.6999999999999993</v>
      </c>
      <c r="M16" s="27"/>
      <c r="N16" t="s">
        <v>55</v>
      </c>
      <c r="O16" t="s">
        <v>54</v>
      </c>
    </row>
    <row r="17" spans="2:15" ht="22.5" customHeight="1" x14ac:dyDescent="0.25">
      <c r="B17" s="14"/>
      <c r="C17" s="10"/>
      <c r="D17" s="7"/>
      <c r="E17" s="18"/>
      <c r="M17" s="26" t="s">
        <v>53</v>
      </c>
      <c r="N17" t="b">
        <f>AND(N11&gt;=8,N12&gt;=8,N13&gt;=8)</f>
        <v>1</v>
      </c>
      <c r="O17">
        <f>COUNTIF(N11:N13,"&gt;=10")</f>
        <v>3</v>
      </c>
    </row>
    <row r="18" spans="2:15" ht="22.5" customHeight="1" x14ac:dyDescent="0.25">
      <c r="B18" s="14"/>
      <c r="C18" s="17" t="s">
        <v>0</v>
      </c>
      <c r="D18" s="7">
        <v>5</v>
      </c>
      <c r="E18" s="19" t="s">
        <v>1</v>
      </c>
      <c r="M18" s="26" t="s">
        <v>52</v>
      </c>
      <c r="N18">
        <f>COUNTIF(N11:N13,"&lt;8")</f>
        <v>0</v>
      </c>
    </row>
    <row r="19" spans="2:15" ht="22.5" customHeight="1" x14ac:dyDescent="0.25">
      <c r="B19" s="14"/>
      <c r="C19" s="17" t="s">
        <v>11</v>
      </c>
      <c r="D19" s="7">
        <v>15</v>
      </c>
      <c r="E19" s="19"/>
    </row>
    <row r="20" spans="2:15" ht="22.5" customHeight="1" x14ac:dyDescent="0.25">
      <c r="B20" s="14"/>
      <c r="C20" s="17" t="s">
        <v>12</v>
      </c>
      <c r="D20" s="7">
        <v>15</v>
      </c>
      <c r="E20" s="19"/>
    </row>
    <row r="21" spans="2:15" ht="22.5" customHeight="1" x14ac:dyDescent="0.25">
      <c r="B21" s="14"/>
      <c r="C21" s="17" t="s">
        <v>13</v>
      </c>
      <c r="D21" s="7">
        <v>25</v>
      </c>
      <c r="E21" s="19"/>
      <c r="N21" t="str">
        <f>IF(AND(AND(N11&gt;=8,N12&gt;=8,N13&gt;=8),COUNTIF(N11:N13,"&gt;=10")&gt;=2),"Passage autorisé","Passage refusé")</f>
        <v>Passage autorisé</v>
      </c>
    </row>
    <row r="22" spans="2:15" ht="22.5" customHeight="1" x14ac:dyDescent="0.25">
      <c r="B22" s="14"/>
      <c r="C22" s="17" t="s">
        <v>14</v>
      </c>
      <c r="D22" s="7">
        <v>15</v>
      </c>
      <c r="E22" s="19"/>
    </row>
    <row r="23" spans="2:15" ht="22.5" customHeight="1" x14ac:dyDescent="0.25">
      <c r="B23" s="14"/>
      <c r="C23" s="17" t="s">
        <v>15</v>
      </c>
      <c r="D23" s="7">
        <v>10</v>
      </c>
      <c r="E23" s="19"/>
      <c r="N23" t="str">
        <f>"moyenne générale : " &amp; L8</f>
        <v xml:space="preserve">moyenne générale : </v>
      </c>
    </row>
    <row r="24" spans="2:15" ht="22.5" customHeight="1" x14ac:dyDescent="0.25">
      <c r="B24" s="14"/>
      <c r="C24" s="17" t="s">
        <v>16</v>
      </c>
      <c r="D24" s="7">
        <v>15</v>
      </c>
      <c r="E24" s="19"/>
      <c r="H24" s="30"/>
      <c r="N24" t="str">
        <f>N18 &amp; " blocs inférieurs à 8"</f>
        <v>0 blocs inférieurs à 8</v>
      </c>
    </row>
    <row r="25" spans="2:15" x14ac:dyDescent="0.25">
      <c r="N25" t="str">
        <f>O17 &amp; " blocs supérieur ou égal à 10"</f>
        <v>3 blocs supérieur ou égal à 10</v>
      </c>
    </row>
    <row r="26" spans="2:15" x14ac:dyDescent="0.25">
      <c r="N26" t="str">
        <f>IF(N21="Passage autorisé", "Vous passez en deuxième année.","Vous ne passez pas en deuxième année.")</f>
        <v>Vous passez en deuxième année.</v>
      </c>
    </row>
    <row r="28" spans="2:15" x14ac:dyDescent="0.25">
      <c r="C28" t="s">
        <v>38</v>
      </c>
      <c r="D28" t="s">
        <v>39</v>
      </c>
      <c r="E28" t="s">
        <v>40</v>
      </c>
    </row>
    <row r="29" spans="2:15" x14ac:dyDescent="0.25">
      <c r="B29" s="14"/>
      <c r="C29" s="17" t="s">
        <v>19</v>
      </c>
      <c r="D29" s="7">
        <v>5</v>
      </c>
      <c r="E29" s="19" t="s">
        <v>1</v>
      </c>
    </row>
    <row r="30" spans="2:15" x14ac:dyDescent="0.25">
      <c r="B30" s="14"/>
      <c r="C30" s="17" t="s">
        <v>20</v>
      </c>
      <c r="D30" s="7">
        <v>15</v>
      </c>
      <c r="E30" s="19"/>
    </row>
    <row r="31" spans="2:15" x14ac:dyDescent="0.25">
      <c r="B31" s="14"/>
      <c r="C31" s="17" t="s">
        <v>21</v>
      </c>
      <c r="D31" s="7">
        <v>15</v>
      </c>
      <c r="E31" s="19"/>
    </row>
    <row r="32" spans="2:15" x14ac:dyDescent="0.25">
      <c r="B32" s="14"/>
      <c r="C32" s="17" t="s">
        <v>22</v>
      </c>
      <c r="D32" s="7">
        <v>15</v>
      </c>
      <c r="E32" s="19"/>
    </row>
    <row r="33" spans="2:5" x14ac:dyDescent="0.25">
      <c r="B33" s="14"/>
      <c r="C33" s="17" t="s">
        <v>23</v>
      </c>
      <c r="D33" s="7">
        <v>10</v>
      </c>
      <c r="E33" s="19"/>
    </row>
    <row r="34" spans="2:5" x14ac:dyDescent="0.25">
      <c r="B34" s="14"/>
      <c r="C34" s="17" t="s">
        <v>24</v>
      </c>
      <c r="D34" s="7">
        <v>20</v>
      </c>
      <c r="E34" s="19"/>
    </row>
    <row r="35" spans="2:5" x14ac:dyDescent="0.25">
      <c r="B35" s="14"/>
      <c r="C35" s="17" t="s">
        <v>25</v>
      </c>
      <c r="D35" s="7">
        <v>10</v>
      </c>
      <c r="E35" s="19"/>
    </row>
    <row r="36" spans="2:5" x14ac:dyDescent="0.25">
      <c r="B36" s="14"/>
      <c r="C36" s="17" t="s">
        <v>26</v>
      </c>
      <c r="D36" s="7">
        <v>5</v>
      </c>
      <c r="E36" s="19"/>
    </row>
    <row r="37" spans="2:5" x14ac:dyDescent="0.25">
      <c r="B37" s="14"/>
      <c r="C37" s="17" t="s">
        <v>27</v>
      </c>
      <c r="D37" s="7">
        <v>5</v>
      </c>
      <c r="E37" s="19"/>
    </row>
    <row r="38" spans="2:5" x14ac:dyDescent="0.25">
      <c r="B38" s="14"/>
      <c r="C38" s="10"/>
      <c r="D38" s="7"/>
      <c r="E38" s="7"/>
    </row>
    <row r="39" spans="2:5" x14ac:dyDescent="0.25">
      <c r="B39" s="14"/>
      <c r="C39" s="17" t="s">
        <v>19</v>
      </c>
      <c r="D39" s="7">
        <v>5</v>
      </c>
      <c r="E39" s="19" t="s">
        <v>1</v>
      </c>
    </row>
    <row r="40" spans="2:5" x14ac:dyDescent="0.25">
      <c r="B40" s="14"/>
      <c r="C40" s="17" t="s">
        <v>28</v>
      </c>
      <c r="D40" s="7">
        <v>10</v>
      </c>
      <c r="E40" s="19"/>
    </row>
    <row r="41" spans="2:5" x14ac:dyDescent="0.25">
      <c r="B41" s="14"/>
      <c r="C41" s="17" t="s">
        <v>29</v>
      </c>
      <c r="D41" s="7">
        <v>15</v>
      </c>
      <c r="E41" s="19"/>
    </row>
    <row r="42" spans="2:5" x14ac:dyDescent="0.25">
      <c r="B42" s="14"/>
      <c r="C42" s="17" t="s">
        <v>30</v>
      </c>
      <c r="D42" s="7">
        <v>15</v>
      </c>
      <c r="E42" s="19"/>
    </row>
    <row r="43" spans="2:5" x14ac:dyDescent="0.25">
      <c r="B43" s="14"/>
      <c r="C43" s="17" t="s">
        <v>31</v>
      </c>
      <c r="D43" s="7">
        <v>15</v>
      </c>
      <c r="E43" s="19"/>
    </row>
    <row r="44" spans="2:5" x14ac:dyDescent="0.25">
      <c r="B44" s="14"/>
      <c r="C44" s="17" t="s">
        <v>24</v>
      </c>
      <c r="D44" s="7">
        <v>10</v>
      </c>
      <c r="E44" s="19"/>
    </row>
    <row r="45" spans="2:5" x14ac:dyDescent="0.25">
      <c r="B45" s="14"/>
      <c r="C45" s="17" t="s">
        <v>32</v>
      </c>
      <c r="D45" s="7">
        <v>10</v>
      </c>
      <c r="E45" s="19"/>
    </row>
    <row r="46" spans="2:5" x14ac:dyDescent="0.25">
      <c r="B46" s="14"/>
      <c r="C46" s="17" t="s">
        <v>33</v>
      </c>
      <c r="D46" s="7">
        <v>10</v>
      </c>
      <c r="E46" s="19"/>
    </row>
    <row r="47" spans="2:5" x14ac:dyDescent="0.25">
      <c r="B47" s="14"/>
      <c r="C47" s="17" t="s">
        <v>26</v>
      </c>
      <c r="D47" s="7">
        <v>5</v>
      </c>
      <c r="E47" s="19"/>
    </row>
    <row r="48" spans="2:5" x14ac:dyDescent="0.25">
      <c r="B48" s="14"/>
      <c r="C48" s="17" t="s">
        <v>27</v>
      </c>
      <c r="D48" s="7">
        <v>5</v>
      </c>
      <c r="E48" s="19"/>
    </row>
    <row r="49" spans="2:5" x14ac:dyDescent="0.25">
      <c r="B49" s="14"/>
      <c r="C49" s="10"/>
      <c r="D49" s="7"/>
      <c r="E49" s="7"/>
    </row>
    <row r="50" spans="2:5" x14ac:dyDescent="0.25">
      <c r="B50" s="14"/>
      <c r="C50" s="17" t="s">
        <v>19</v>
      </c>
      <c r="D50" s="7">
        <v>5</v>
      </c>
      <c r="E50" s="19" t="s">
        <v>1</v>
      </c>
    </row>
    <row r="51" spans="2:5" x14ac:dyDescent="0.25">
      <c r="B51" s="14"/>
      <c r="C51" s="17" t="s">
        <v>34</v>
      </c>
      <c r="D51" s="7">
        <v>15</v>
      </c>
      <c r="E51" s="19"/>
    </row>
    <row r="52" spans="2:5" x14ac:dyDescent="0.25">
      <c r="B52" s="14"/>
      <c r="C52" s="17" t="s">
        <v>35</v>
      </c>
      <c r="D52" s="7">
        <v>15</v>
      </c>
      <c r="E52" s="19"/>
    </row>
    <row r="53" spans="2:5" x14ac:dyDescent="0.25">
      <c r="B53" s="14"/>
      <c r="C53" s="17" t="s">
        <v>36</v>
      </c>
      <c r="D53" s="7">
        <v>25</v>
      </c>
      <c r="E53" s="19"/>
    </row>
    <row r="54" spans="2:5" x14ac:dyDescent="0.25">
      <c r="B54" s="14"/>
      <c r="C54" s="17" t="s">
        <v>24</v>
      </c>
      <c r="D54" s="7">
        <v>20</v>
      </c>
      <c r="E54" s="19"/>
    </row>
    <row r="55" spans="2:5" x14ac:dyDescent="0.25">
      <c r="B55" s="14"/>
      <c r="C55" s="17" t="s">
        <v>37</v>
      </c>
      <c r="D55" s="7">
        <v>10</v>
      </c>
      <c r="E55" s="19"/>
    </row>
    <row r="56" spans="2:5" x14ac:dyDescent="0.25">
      <c r="B56" s="14"/>
      <c r="C56" s="17" t="s">
        <v>26</v>
      </c>
      <c r="D56" s="7">
        <v>5</v>
      </c>
      <c r="E56" s="19"/>
    </row>
    <row r="57" spans="2:5" x14ac:dyDescent="0.25">
      <c r="B57" s="14"/>
      <c r="C57" s="17" t="s">
        <v>27</v>
      </c>
      <c r="D57" s="7">
        <v>5</v>
      </c>
      <c r="E57" s="19"/>
    </row>
  </sheetData>
  <mergeCells count="2">
    <mergeCell ref="J11:J13"/>
    <mergeCell ref="J14:J16"/>
  </mergeCells>
  <phoneticPr fontId="7" type="noConversion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4411d05-e2f5-429c-b461-e191d50f1f1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E53F2CA32DB043B8A33EA5127C7521" ma:contentTypeVersion="9" ma:contentTypeDescription="Crée un document." ma:contentTypeScope="" ma:versionID="5b04aa3dbf2ee67d289d0da54a9420a7">
  <xsd:schema xmlns:xsd="http://www.w3.org/2001/XMLSchema" xmlns:xs="http://www.w3.org/2001/XMLSchema" xmlns:p="http://schemas.microsoft.com/office/2006/metadata/properties" xmlns:ns3="d4411d05-e2f5-429c-b461-e191d50f1f19" targetNamespace="http://schemas.microsoft.com/office/2006/metadata/properties" ma:root="true" ma:fieldsID="1adea9d18bdfa506101e684839bf9a3e" ns3:_="">
    <xsd:import namespace="d4411d05-e2f5-429c-b461-e191d50f1f19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411d05-e2f5-429c-b461-e191d50f1f19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60562F-7D68-4884-862A-61DF1B8005F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9BD0D3-3D4C-4E24-81F5-61EDCDF7C1AA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d4411d05-e2f5-429c-b461-e191d50f1f19"/>
    <ds:schemaRef ds:uri="http://schemas.microsoft.com/office/2006/metadata/properties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424E367D-FFAC-41EB-900E-803CA3B04C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411d05-e2f5-429c-b461-e191d50f1f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S1</vt:lpstr>
      <vt:lpstr>S2</vt:lpstr>
      <vt:lpstr>Calcule</vt:lpstr>
    </vt:vector>
  </TitlesOfParts>
  <Company>Universite de Poitiers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HERISSE-DROUET ANTOINE</dc:creator>
  <cp:lastModifiedBy>Yanice Louis</cp:lastModifiedBy>
  <dcterms:created xsi:type="dcterms:W3CDTF">2025-12-11T10:17:29Z</dcterms:created>
  <dcterms:modified xsi:type="dcterms:W3CDTF">2025-12-19T12:10:55Z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0x010100E8E53F2CA32DB043B8A33EA5127C7521</vt:lpwstr>
  </property>
</Properties>
</file>